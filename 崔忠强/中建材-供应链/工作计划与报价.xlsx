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 activeTab="1"/>
  </bookViews>
  <sheets>
    <sheet name="工作计划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<sst xmlns="http://schemas.openxmlformats.org/spreadsheetml/2006/main" count="69" uniqueCount="63">
  <si>
    <t>里程碑</t>
  </si>
  <si>
    <t>开始时间</t>
  </si>
  <si>
    <t>结束时间</t>
  </si>
  <si>
    <t>需求分析与设计</t>
  </si>
  <si>
    <t>功能开发与测试</t>
  </si>
  <si>
    <t>系统上线&amp;初验</t>
  </si>
  <si>
    <t>试运行&amp;终验</t>
  </si>
  <si>
    <t>系统终验后三月免费维保</t>
  </si>
  <si>
    <t>工作量估算及报价</t>
  </si>
  <si>
    <t>功能/工作内容</t>
  </si>
  <si>
    <t>工作量
（人天数）</t>
  </si>
  <si>
    <t>单价（元）</t>
  </si>
  <si>
    <t>小计（元）</t>
  </si>
  <si>
    <t>备注</t>
  </si>
  <si>
    <t>黑色金属市场行情监控与经营分析</t>
  </si>
  <si>
    <t>需求分析与方案设计</t>
  </si>
  <si>
    <t>系统功能开发与测试</t>
  </si>
  <si>
    <t>分析报表图表（限10张以内）</t>
  </si>
  <si>
    <t>数据初始化</t>
  </si>
  <si>
    <t>有色金属市场行情监控与经营分析</t>
  </si>
  <si>
    <t>商业伙伴评估与风险控制</t>
  </si>
  <si>
    <t>客户管理</t>
  </si>
  <si>
    <t>风险指标</t>
  </si>
  <si>
    <t>风险评级</t>
  </si>
  <si>
    <t>分析预警</t>
  </si>
  <si>
    <t>统计报表</t>
  </si>
  <si>
    <t>单船绩效</t>
  </si>
  <si>
    <t>未出港期货表</t>
  </si>
  <si>
    <t>现货及出港+出港期货表</t>
  </si>
  <si>
    <t>销售统计表</t>
  </si>
  <si>
    <t>合同管理</t>
  </si>
  <si>
    <t>合同审批流程优化</t>
  </si>
  <si>
    <t>合同模板管理</t>
  </si>
  <si>
    <t>合同预警</t>
  </si>
  <si>
    <t>合同联动</t>
  </si>
  <si>
    <t>电子签章（系统集成与功能个性化定制）</t>
  </si>
  <si>
    <t>财务付款流程优化</t>
  </si>
  <si>
    <t>行政人事管理功能优化</t>
  </si>
  <si>
    <t>7.1</t>
  </si>
  <si>
    <t>新增代理招待申请</t>
  </si>
  <si>
    <t>7.2</t>
  </si>
  <si>
    <t>新增代理报销流程</t>
  </si>
  <si>
    <t>7.3</t>
  </si>
  <si>
    <t>新增代理出差申请流程</t>
  </si>
  <si>
    <t>7.4</t>
  </si>
  <si>
    <t>新增费用（报销）标准管理</t>
  </si>
  <si>
    <t>7.5</t>
  </si>
  <si>
    <t>新增费用（报销）额度管理</t>
  </si>
  <si>
    <t>7.6</t>
  </si>
  <si>
    <t>招待申请规范管理</t>
  </si>
  <si>
    <t>7.7</t>
  </si>
  <si>
    <t>新增费用报销报表</t>
  </si>
  <si>
    <t>7.8</t>
  </si>
  <si>
    <t>审批流程简化</t>
  </si>
  <si>
    <t>7.9</t>
  </si>
  <si>
    <t>调整原审批流程</t>
  </si>
  <si>
    <t>7.10</t>
  </si>
  <si>
    <t>移动端审批</t>
  </si>
  <si>
    <t>第三方软件产品</t>
  </si>
  <si>
    <t>电子签章产品</t>
  </si>
  <si>
    <t>2019年运维服务</t>
  </si>
  <si>
    <t>总计</t>
  </si>
  <si>
    <t>/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</si>
</sst>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#,##0_ "/>
    <numFmt numFmtId="177" formatCode="yyyy\-mm\-dd"/>
  </numFmts>
  <fonts count="27">
    <font>
      <sz val="12"/>
      <color theme="1"/>
      <name val="等线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</font>
    <font>
      <sz val="12"/>
      <color theme="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23" borderId="9" applyNumberFormat="0" applyFon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0" borderId="6" applyNumberFormat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18" fillId="30" borderId="10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38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38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>
      <alignment vertical="center"/>
    </xf>
    <xf numFmtId="0" fontId="4" fillId="3" borderId="4" xfId="0" applyFont="1" applyFill="1" applyBorder="1" applyAlignment="1">
      <alignment vertical="center" wrapText="1"/>
    </xf>
    <xf numFmtId="38" fontId="4" fillId="3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38" fontId="4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center" vertical="center"/>
    </xf>
    <xf numFmtId="0" fontId="4" fillId="4" borderId="4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vertical="center"/>
    </xf>
    <xf numFmtId="0" fontId="1" fillId="0" borderId="4" xfId="0" applyFont="1" applyBorder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38" fontId="5" fillId="5" borderId="4" xfId="0" applyNumberFormat="1" applyFont="1" applyFill="1" applyBorder="1" applyAlignment="1">
      <alignment vertical="center" wrapText="1"/>
    </xf>
    <xf numFmtId="38" fontId="5" fillId="5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77" fontId="1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7"/>
  <sheetViews>
    <sheetView showGridLines="0" zoomScale="160" zoomScaleNormal="160" workbookViewId="0">
      <selection activeCell="C3" sqref="C3:D7"/>
    </sheetView>
  </sheetViews>
  <sheetFormatPr defaultColWidth="11.0769230769231" defaultRowHeight="15.5" outlineLevelRow="6" outlineLevelCol="3"/>
  <cols>
    <col min="1" max="1" width="7.69230769230769" customWidth="1"/>
    <col min="2" max="2" width="24" customWidth="1"/>
    <col min="3" max="4" width="14.4615384615385" style="33" customWidth="1"/>
  </cols>
  <sheetData>
    <row r="2" ht="24" customHeight="1" spans="2:4">
      <c r="B2" s="34" t="s">
        <v>0</v>
      </c>
      <c r="C2" s="34" t="s">
        <v>1</v>
      </c>
      <c r="D2" s="34" t="s">
        <v>2</v>
      </c>
    </row>
    <row r="3" ht="24" customHeight="1" spans="2:4">
      <c r="B3" s="35" t="s">
        <v>3</v>
      </c>
      <c r="C3" s="36"/>
      <c r="D3" s="36"/>
    </row>
    <row r="4" ht="24" customHeight="1" spans="2:4">
      <c r="B4" s="35" t="s">
        <v>4</v>
      </c>
      <c r="C4" s="36"/>
      <c r="D4" s="36"/>
    </row>
    <row r="5" ht="24" customHeight="1" spans="2:4">
      <c r="B5" s="35" t="s">
        <v>5</v>
      </c>
      <c r="C5" s="36"/>
      <c r="D5" s="36"/>
    </row>
    <row r="6" ht="24" customHeight="1" spans="2:4">
      <c r="B6" s="35" t="s">
        <v>6</v>
      </c>
      <c r="C6" s="36"/>
      <c r="D6" s="36"/>
    </row>
    <row r="7" ht="24" customHeight="1" spans="2:4">
      <c r="B7" s="35" t="s">
        <v>7</v>
      </c>
      <c r="C7" s="36"/>
      <c r="D7" s="3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H49"/>
  <sheetViews>
    <sheetView showGridLines="0" tabSelected="1" workbookViewId="0">
      <pane xSplit="1" ySplit="4" topLeftCell="B41" activePane="bottomRight" state="frozen"/>
      <selection/>
      <selection pane="topRight"/>
      <selection pane="bottomLeft"/>
      <selection pane="bottomRight" activeCell="G35" sqref="G35"/>
    </sheetView>
  </sheetViews>
  <sheetFormatPr defaultColWidth="10.8461538461538" defaultRowHeight="15" outlineLevelCol="7"/>
  <cols>
    <col min="1" max="1" width="3.46153846153846" style="1" customWidth="1"/>
    <col min="2" max="2" width="3.69230769230769" style="2" customWidth="1"/>
    <col min="3" max="3" width="5.69230769230769" style="1" customWidth="1"/>
    <col min="4" max="4" width="40.8461538461538" style="1" customWidth="1"/>
    <col min="5" max="5" width="13.6923076923077" style="3" customWidth="1"/>
    <col min="6" max="6" width="7.84615384615385" style="4" customWidth="1"/>
    <col min="7" max="7" width="13.6923076923077" style="4" customWidth="1"/>
    <col min="8" max="8" width="32.6923076923077" style="5" customWidth="1"/>
    <col min="9" max="16384" width="10.8461538461538" style="1"/>
  </cols>
  <sheetData>
    <row r="1" ht="13" customHeight="1"/>
    <row r="2" ht="25" customHeight="1" spans="2:8">
      <c r="B2" s="6" t="s">
        <v>8</v>
      </c>
      <c r="C2" s="6"/>
      <c r="D2" s="6"/>
      <c r="E2" s="6"/>
      <c r="F2" s="6"/>
      <c r="G2" s="6"/>
      <c r="H2" s="6"/>
    </row>
    <row r="3" ht="9" customHeight="1"/>
    <row r="4" ht="33" customHeight="1" spans="2:8">
      <c r="B4" s="7" t="s">
        <v>9</v>
      </c>
      <c r="C4" s="8"/>
      <c r="D4" s="9"/>
      <c r="E4" s="10" t="s">
        <v>10</v>
      </c>
      <c r="F4" s="11" t="s">
        <v>11</v>
      </c>
      <c r="G4" s="11" t="s">
        <v>12</v>
      </c>
      <c r="H4" s="12" t="s">
        <v>13</v>
      </c>
    </row>
    <row r="5" ht="19" customHeight="1" spans="2:8">
      <c r="B5" s="13">
        <v>1</v>
      </c>
      <c r="C5" s="14" t="s">
        <v>14</v>
      </c>
      <c r="D5" s="15"/>
      <c r="E5" s="16">
        <f>SUM(E6:E9)</f>
        <v>39</v>
      </c>
      <c r="F5" s="16"/>
      <c r="G5" s="16"/>
      <c r="H5" s="17"/>
    </row>
    <row r="6" ht="19" customHeight="1" outlineLevel="1" spans="2:8">
      <c r="B6" s="18"/>
      <c r="C6" s="18">
        <v>1.1</v>
      </c>
      <c r="D6" s="19" t="s">
        <v>15</v>
      </c>
      <c r="E6" s="20">
        <v>5</v>
      </c>
      <c r="F6" s="20">
        <v>2000</v>
      </c>
      <c r="G6" s="20">
        <f t="shared" ref="G6:G43" si="0">E6*F6</f>
        <v>10000</v>
      </c>
      <c r="H6" s="21"/>
    </row>
    <row r="7" ht="19" customHeight="1" outlineLevel="1" spans="2:8">
      <c r="B7" s="18"/>
      <c r="C7" s="18">
        <v>1.2</v>
      </c>
      <c r="D7" s="19" t="s">
        <v>16</v>
      </c>
      <c r="E7" s="20">
        <v>12</v>
      </c>
      <c r="F7" s="20">
        <v>2000</v>
      </c>
      <c r="G7" s="20">
        <f t="shared" si="0"/>
        <v>24000</v>
      </c>
      <c r="H7" s="21"/>
    </row>
    <row r="8" ht="19" customHeight="1" outlineLevel="1" spans="2:8">
      <c r="B8" s="18"/>
      <c r="C8" s="18">
        <v>1.3</v>
      </c>
      <c r="D8" s="19" t="s">
        <v>17</v>
      </c>
      <c r="E8" s="20">
        <v>20</v>
      </c>
      <c r="F8" s="20">
        <v>2000</v>
      </c>
      <c r="G8" s="20">
        <f t="shared" si="0"/>
        <v>40000</v>
      </c>
      <c r="H8" s="21"/>
    </row>
    <row r="9" ht="19" customHeight="1" outlineLevel="1" spans="2:8">
      <c r="B9" s="18"/>
      <c r="C9" s="18">
        <v>1.4</v>
      </c>
      <c r="D9" s="19" t="s">
        <v>18</v>
      </c>
      <c r="E9" s="20">
        <v>2</v>
      </c>
      <c r="F9" s="20">
        <v>2000</v>
      </c>
      <c r="G9" s="20">
        <f t="shared" si="0"/>
        <v>4000</v>
      </c>
      <c r="H9" s="21"/>
    </row>
    <row r="10" ht="19" customHeight="1" spans="2:8">
      <c r="B10" s="13">
        <v>2</v>
      </c>
      <c r="C10" s="14" t="s">
        <v>19</v>
      </c>
      <c r="D10" s="15"/>
      <c r="E10" s="16">
        <f>SUM(E11:E14)</f>
        <v>39</v>
      </c>
      <c r="F10" s="16"/>
      <c r="G10" s="16"/>
      <c r="H10" s="17"/>
    </row>
    <row r="11" ht="19" customHeight="1" outlineLevel="1" spans="2:8">
      <c r="B11" s="18"/>
      <c r="C11" s="18">
        <v>2.1</v>
      </c>
      <c r="D11" s="19" t="s">
        <v>15</v>
      </c>
      <c r="E11" s="20">
        <v>5</v>
      </c>
      <c r="F11" s="20">
        <v>2000</v>
      </c>
      <c r="G11" s="20">
        <f t="shared" si="0"/>
        <v>10000</v>
      </c>
      <c r="H11" s="21"/>
    </row>
    <row r="12" ht="19" customHeight="1" outlineLevel="1" spans="2:8">
      <c r="B12" s="18"/>
      <c r="C12" s="18">
        <v>2.2</v>
      </c>
      <c r="D12" s="19" t="s">
        <v>16</v>
      </c>
      <c r="E12" s="20">
        <v>12</v>
      </c>
      <c r="F12" s="20">
        <v>2000</v>
      </c>
      <c r="G12" s="20">
        <f t="shared" si="0"/>
        <v>24000</v>
      </c>
      <c r="H12" s="21"/>
    </row>
    <row r="13" ht="19" customHeight="1" outlineLevel="1" spans="2:8">
      <c r="B13" s="18"/>
      <c r="C13" s="18">
        <v>2.3</v>
      </c>
      <c r="D13" s="19" t="s">
        <v>17</v>
      </c>
      <c r="E13" s="20">
        <v>20</v>
      </c>
      <c r="F13" s="20">
        <v>2000</v>
      </c>
      <c r="G13" s="20">
        <f t="shared" si="0"/>
        <v>40000</v>
      </c>
      <c r="H13" s="21"/>
    </row>
    <row r="14" ht="19" customHeight="1" outlineLevel="1" spans="2:8">
      <c r="B14" s="18"/>
      <c r="C14" s="18">
        <v>2.4</v>
      </c>
      <c r="D14" s="19" t="s">
        <v>18</v>
      </c>
      <c r="E14" s="20">
        <v>2</v>
      </c>
      <c r="F14" s="20">
        <v>2000</v>
      </c>
      <c r="G14" s="20">
        <f t="shared" si="0"/>
        <v>4000</v>
      </c>
      <c r="H14" s="21"/>
    </row>
    <row r="15" ht="19" customHeight="1" spans="2:8">
      <c r="B15" s="13">
        <v>3</v>
      </c>
      <c r="C15" s="22" t="s">
        <v>20</v>
      </c>
      <c r="D15" s="14"/>
      <c r="E15" s="16">
        <f>SUM(E16:E19)</f>
        <v>36</v>
      </c>
      <c r="F15" s="16"/>
      <c r="G15" s="16"/>
      <c r="H15" s="17"/>
    </row>
    <row r="16" ht="19" customHeight="1" outlineLevel="1" spans="2:8">
      <c r="B16" s="18"/>
      <c r="C16" s="18">
        <v>3.1</v>
      </c>
      <c r="D16" s="23" t="s">
        <v>21</v>
      </c>
      <c r="E16" s="20">
        <v>9</v>
      </c>
      <c r="F16" s="20">
        <v>2000</v>
      </c>
      <c r="G16" s="20">
        <f t="shared" si="0"/>
        <v>18000</v>
      </c>
      <c r="H16" s="21"/>
    </row>
    <row r="17" ht="19" customHeight="1" outlineLevel="1" spans="2:8">
      <c r="B17" s="18"/>
      <c r="C17" s="18">
        <v>3.2</v>
      </c>
      <c r="D17" s="23" t="s">
        <v>22</v>
      </c>
      <c r="E17" s="20">
        <v>10</v>
      </c>
      <c r="F17" s="20">
        <v>2000</v>
      </c>
      <c r="G17" s="20">
        <f t="shared" si="0"/>
        <v>20000</v>
      </c>
      <c r="H17" s="21"/>
    </row>
    <row r="18" ht="19" customHeight="1" outlineLevel="1" spans="2:8">
      <c r="B18" s="18"/>
      <c r="C18" s="18">
        <v>3.3</v>
      </c>
      <c r="D18" s="23" t="s">
        <v>23</v>
      </c>
      <c r="E18" s="20">
        <v>12</v>
      </c>
      <c r="F18" s="20">
        <v>2000</v>
      </c>
      <c r="G18" s="20">
        <f t="shared" si="0"/>
        <v>24000</v>
      </c>
      <c r="H18" s="21"/>
    </row>
    <row r="19" ht="19" customHeight="1" outlineLevel="1" spans="2:8">
      <c r="B19" s="18"/>
      <c r="C19" s="18">
        <v>3.4</v>
      </c>
      <c r="D19" s="23" t="s">
        <v>24</v>
      </c>
      <c r="E19" s="20">
        <v>5</v>
      </c>
      <c r="F19" s="20">
        <v>2000</v>
      </c>
      <c r="G19" s="20">
        <f t="shared" si="0"/>
        <v>10000</v>
      </c>
      <c r="H19" s="21"/>
    </row>
    <row r="20" ht="19" customHeight="1" spans="2:8">
      <c r="B20" s="13">
        <v>4</v>
      </c>
      <c r="C20" s="14" t="s">
        <v>25</v>
      </c>
      <c r="D20" s="15"/>
      <c r="E20" s="16">
        <f>SUM(E21:E24)</f>
        <v>11</v>
      </c>
      <c r="F20" s="16"/>
      <c r="G20" s="16"/>
      <c r="H20" s="17"/>
    </row>
    <row r="21" ht="19" customHeight="1" outlineLevel="1" spans="2:8">
      <c r="B21" s="18"/>
      <c r="C21" s="18">
        <v>4.1</v>
      </c>
      <c r="D21" s="23" t="s">
        <v>26</v>
      </c>
      <c r="E21" s="20">
        <v>3</v>
      </c>
      <c r="F21" s="20">
        <v>2000</v>
      </c>
      <c r="G21" s="20">
        <f t="shared" si="0"/>
        <v>6000</v>
      </c>
      <c r="H21" s="21"/>
    </row>
    <row r="22" ht="19" customHeight="1" outlineLevel="1" spans="2:8">
      <c r="B22" s="18"/>
      <c r="C22" s="18">
        <v>4.2</v>
      </c>
      <c r="D22" s="23" t="s">
        <v>27</v>
      </c>
      <c r="E22" s="20">
        <v>2</v>
      </c>
      <c r="F22" s="20">
        <v>2000</v>
      </c>
      <c r="G22" s="20">
        <f t="shared" si="0"/>
        <v>4000</v>
      </c>
      <c r="H22" s="21"/>
    </row>
    <row r="23" ht="19" customHeight="1" outlineLevel="1" spans="2:8">
      <c r="B23" s="18"/>
      <c r="C23" s="18">
        <v>4.3</v>
      </c>
      <c r="D23" s="23" t="s">
        <v>28</v>
      </c>
      <c r="E23" s="20">
        <v>3</v>
      </c>
      <c r="F23" s="20">
        <v>2000</v>
      </c>
      <c r="G23" s="20">
        <f t="shared" si="0"/>
        <v>6000</v>
      </c>
      <c r="H23" s="21"/>
    </row>
    <row r="24" ht="19" customHeight="1" outlineLevel="1" spans="2:8">
      <c r="B24" s="18"/>
      <c r="C24" s="18">
        <v>4.4</v>
      </c>
      <c r="D24" s="23" t="s">
        <v>29</v>
      </c>
      <c r="E24" s="20">
        <v>3</v>
      </c>
      <c r="F24" s="20">
        <v>2000</v>
      </c>
      <c r="G24" s="20">
        <f t="shared" si="0"/>
        <v>6000</v>
      </c>
      <c r="H24" s="21"/>
    </row>
    <row r="25" ht="19" customHeight="1" spans="2:8">
      <c r="B25" s="13">
        <v>5</v>
      </c>
      <c r="C25" s="14" t="s">
        <v>30</v>
      </c>
      <c r="D25" s="24"/>
      <c r="E25" s="16">
        <f>SUM(E26:E30)</f>
        <v>31</v>
      </c>
      <c r="F25" s="16"/>
      <c r="G25" s="16"/>
      <c r="H25" s="17"/>
    </row>
    <row r="26" ht="19" customHeight="1" outlineLevel="1" spans="2:8">
      <c r="B26" s="18"/>
      <c r="C26" s="18">
        <v>5.1</v>
      </c>
      <c r="D26" s="23" t="s">
        <v>31</v>
      </c>
      <c r="E26" s="20">
        <v>3</v>
      </c>
      <c r="F26" s="20">
        <v>2000</v>
      </c>
      <c r="G26" s="20">
        <f t="shared" si="0"/>
        <v>6000</v>
      </c>
      <c r="H26" s="21"/>
    </row>
    <row r="27" ht="19" customHeight="1" outlineLevel="1" spans="2:8">
      <c r="B27" s="18"/>
      <c r="C27" s="18">
        <v>5.2</v>
      </c>
      <c r="D27" s="23" t="s">
        <v>32</v>
      </c>
      <c r="E27" s="20">
        <v>10</v>
      </c>
      <c r="F27" s="20">
        <v>2000</v>
      </c>
      <c r="G27" s="20">
        <f t="shared" si="0"/>
        <v>20000</v>
      </c>
      <c r="H27" s="21"/>
    </row>
    <row r="28" ht="19" customHeight="1" outlineLevel="1" spans="2:8">
      <c r="B28" s="18"/>
      <c r="C28" s="18">
        <v>5.3</v>
      </c>
      <c r="D28" s="23" t="s">
        <v>33</v>
      </c>
      <c r="E28" s="20">
        <v>6</v>
      </c>
      <c r="F28" s="20">
        <v>2000</v>
      </c>
      <c r="G28" s="20">
        <f t="shared" si="0"/>
        <v>12000</v>
      </c>
      <c r="H28" s="21"/>
    </row>
    <row r="29" ht="19" customHeight="1" outlineLevel="1" spans="2:8">
      <c r="B29" s="18"/>
      <c r="C29" s="18">
        <v>5.4</v>
      </c>
      <c r="D29" s="23" t="s">
        <v>34</v>
      </c>
      <c r="E29" s="20">
        <v>2</v>
      </c>
      <c r="F29" s="20">
        <v>2000</v>
      </c>
      <c r="G29" s="20">
        <f t="shared" si="0"/>
        <v>4000</v>
      </c>
      <c r="H29" s="21"/>
    </row>
    <row r="30" ht="19" customHeight="1" outlineLevel="1" spans="2:8">
      <c r="B30" s="18"/>
      <c r="C30" s="18">
        <v>5.5</v>
      </c>
      <c r="D30" s="23" t="s">
        <v>35</v>
      </c>
      <c r="E30" s="20">
        <v>10</v>
      </c>
      <c r="F30" s="20">
        <v>2000</v>
      </c>
      <c r="G30" s="20">
        <f t="shared" si="0"/>
        <v>20000</v>
      </c>
      <c r="H30" s="21"/>
    </row>
    <row r="31" ht="19" customHeight="1" spans="2:8">
      <c r="B31" s="13">
        <v>6</v>
      </c>
      <c r="C31" s="14" t="s">
        <v>36</v>
      </c>
      <c r="D31" s="24"/>
      <c r="E31" s="16">
        <v>5</v>
      </c>
      <c r="F31" s="16"/>
      <c r="G31" s="16"/>
      <c r="H31" s="17"/>
    </row>
    <row r="32" ht="19" customHeight="1" outlineLevel="1" spans="2:8">
      <c r="B32" s="18"/>
      <c r="C32" s="18">
        <v>6.1</v>
      </c>
      <c r="D32" s="23" t="s">
        <v>36</v>
      </c>
      <c r="E32" s="20">
        <v>5</v>
      </c>
      <c r="F32" s="20">
        <v>2000</v>
      </c>
      <c r="G32" s="20">
        <f t="shared" si="0"/>
        <v>10000</v>
      </c>
      <c r="H32" s="21"/>
    </row>
    <row r="33" ht="19" customHeight="1" spans="2:8">
      <c r="B33" s="13">
        <v>7</v>
      </c>
      <c r="C33" s="14" t="s">
        <v>37</v>
      </c>
      <c r="D33" s="24"/>
      <c r="E33" s="16">
        <f>SUM(E34:E43)</f>
        <v>83</v>
      </c>
      <c r="F33" s="16"/>
      <c r="G33" s="16"/>
      <c r="H33" s="17"/>
    </row>
    <row r="34" ht="19" customHeight="1" outlineLevel="1" spans="2:8">
      <c r="B34" s="18"/>
      <c r="C34" s="25" t="s">
        <v>38</v>
      </c>
      <c r="D34" s="26" t="s">
        <v>39</v>
      </c>
      <c r="E34" s="20">
        <v>3</v>
      </c>
      <c r="F34" s="20">
        <v>2000</v>
      </c>
      <c r="G34" s="20">
        <f t="shared" si="0"/>
        <v>6000</v>
      </c>
      <c r="H34" s="20">
        <f t="shared" ref="H34" si="1">F34*G34</f>
        <v>12000000</v>
      </c>
    </row>
    <row r="35" ht="19" customHeight="1" outlineLevel="1" spans="2:8">
      <c r="B35" s="18"/>
      <c r="C35" s="25" t="s">
        <v>40</v>
      </c>
      <c r="D35" s="26" t="s">
        <v>41</v>
      </c>
      <c r="E35" s="20">
        <v>2</v>
      </c>
      <c r="F35" s="20">
        <v>2000</v>
      </c>
      <c r="G35" s="20">
        <f t="shared" si="0"/>
        <v>4000</v>
      </c>
      <c r="H35" s="21"/>
    </row>
    <row r="36" ht="19" customHeight="1" outlineLevel="1" spans="2:8">
      <c r="B36" s="18"/>
      <c r="C36" s="25" t="s">
        <v>42</v>
      </c>
      <c r="D36" s="26" t="s">
        <v>43</v>
      </c>
      <c r="E36" s="20">
        <v>2</v>
      </c>
      <c r="F36" s="20">
        <v>2000</v>
      </c>
      <c r="G36" s="20">
        <f t="shared" si="0"/>
        <v>4000</v>
      </c>
      <c r="H36" s="21"/>
    </row>
    <row r="37" ht="19" customHeight="1" outlineLevel="1" spans="2:8">
      <c r="B37" s="18"/>
      <c r="C37" s="25" t="s">
        <v>44</v>
      </c>
      <c r="D37" s="26" t="s">
        <v>45</v>
      </c>
      <c r="E37" s="20">
        <v>12</v>
      </c>
      <c r="F37" s="20">
        <v>2000</v>
      </c>
      <c r="G37" s="20">
        <f t="shared" si="0"/>
        <v>24000</v>
      </c>
      <c r="H37" s="21"/>
    </row>
    <row r="38" ht="19" customHeight="1" outlineLevel="1" spans="2:8">
      <c r="B38" s="18"/>
      <c r="C38" s="25" t="s">
        <v>46</v>
      </c>
      <c r="D38" s="26" t="s">
        <v>47</v>
      </c>
      <c r="E38" s="20">
        <v>12</v>
      </c>
      <c r="F38" s="20">
        <v>2000</v>
      </c>
      <c r="G38" s="20">
        <f t="shared" si="0"/>
        <v>24000</v>
      </c>
      <c r="H38" s="21"/>
    </row>
    <row r="39" ht="19" customHeight="1" outlineLevel="1" spans="2:8">
      <c r="B39" s="18"/>
      <c r="C39" s="25" t="s">
        <v>48</v>
      </c>
      <c r="D39" s="26" t="s">
        <v>49</v>
      </c>
      <c r="E39" s="20">
        <v>5</v>
      </c>
      <c r="F39" s="20">
        <v>2000</v>
      </c>
      <c r="G39" s="20">
        <f t="shared" si="0"/>
        <v>10000</v>
      </c>
      <c r="H39" s="21"/>
    </row>
    <row r="40" ht="19" customHeight="1" outlineLevel="1" spans="2:8">
      <c r="B40" s="18"/>
      <c r="C40" s="25" t="s">
        <v>50</v>
      </c>
      <c r="D40" s="23" t="s">
        <v>51</v>
      </c>
      <c r="E40" s="20">
        <v>9</v>
      </c>
      <c r="F40" s="20">
        <v>2000</v>
      </c>
      <c r="G40" s="20">
        <f t="shared" si="0"/>
        <v>18000</v>
      </c>
      <c r="H40" s="21"/>
    </row>
    <row r="41" ht="19" customHeight="1" outlineLevel="1" spans="2:8">
      <c r="B41" s="18"/>
      <c r="C41" s="25" t="s">
        <v>52</v>
      </c>
      <c r="D41" s="23" t="s">
        <v>53</v>
      </c>
      <c r="E41" s="20">
        <v>4</v>
      </c>
      <c r="F41" s="20">
        <v>2000</v>
      </c>
      <c r="G41" s="20">
        <f t="shared" si="0"/>
        <v>8000</v>
      </c>
      <c r="H41" s="21"/>
    </row>
    <row r="42" ht="19" customHeight="1" outlineLevel="1" spans="2:8">
      <c r="B42" s="18"/>
      <c r="C42" s="25" t="s">
        <v>54</v>
      </c>
      <c r="D42" s="23" t="s">
        <v>55</v>
      </c>
      <c r="E42" s="20">
        <v>4</v>
      </c>
      <c r="F42" s="20">
        <v>2000</v>
      </c>
      <c r="G42" s="20">
        <f t="shared" si="0"/>
        <v>8000</v>
      </c>
      <c r="H42" s="21"/>
    </row>
    <row r="43" ht="19" customHeight="1" outlineLevel="1" spans="2:8">
      <c r="B43" s="18"/>
      <c r="C43" s="25" t="s">
        <v>56</v>
      </c>
      <c r="D43" s="23" t="s">
        <v>57</v>
      </c>
      <c r="E43" s="20">
        <v>30</v>
      </c>
      <c r="F43" s="20">
        <v>2000</v>
      </c>
      <c r="G43" s="20">
        <f t="shared" si="0"/>
        <v>60000</v>
      </c>
      <c r="H43" s="21"/>
    </row>
    <row r="44" ht="19" customHeight="1" outlineLevel="1" spans="2:8">
      <c r="B44" s="18"/>
      <c r="C44" s="25"/>
      <c r="D44" s="23"/>
      <c r="E44" s="20"/>
      <c r="F44" s="20"/>
      <c r="G44" s="20"/>
      <c r="H44" s="21"/>
    </row>
    <row r="45" ht="19" customHeight="1" spans="2:8">
      <c r="B45" s="13">
        <v>8</v>
      </c>
      <c r="C45" s="14" t="s">
        <v>58</v>
      </c>
      <c r="D45" s="24"/>
      <c r="E45" s="16">
        <v>1</v>
      </c>
      <c r="F45" s="16"/>
      <c r="G45" s="16"/>
      <c r="H45" s="17"/>
    </row>
    <row r="46" ht="19" customHeight="1" outlineLevel="1" spans="2:8">
      <c r="B46" s="18"/>
      <c r="C46" s="18">
        <v>8.1</v>
      </c>
      <c r="D46" s="23" t="s">
        <v>59</v>
      </c>
      <c r="E46" s="20">
        <v>1</v>
      </c>
      <c r="F46" s="20">
        <v>30000</v>
      </c>
      <c r="G46" s="20">
        <f t="shared" ref="G46" si="2">E46*F46</f>
        <v>30000</v>
      </c>
      <c r="H46" s="21"/>
    </row>
    <row r="47" ht="19" customHeight="1" spans="2:8">
      <c r="B47" s="18">
        <v>9</v>
      </c>
      <c r="C47" s="27" t="s">
        <v>60</v>
      </c>
      <c r="D47" s="28"/>
      <c r="E47" s="20"/>
      <c r="F47" s="20"/>
      <c r="G47" s="20"/>
      <c r="H47" s="21"/>
    </row>
    <row r="48" ht="19" customHeight="1" outlineLevel="1" spans="2:8">
      <c r="B48" s="18"/>
      <c r="C48" s="18">
        <v>9.1</v>
      </c>
      <c r="D48" s="23" t="s">
        <v>60</v>
      </c>
      <c r="E48" s="20"/>
      <c r="F48" s="20"/>
      <c r="G48" s="20"/>
      <c r="H48" s="21"/>
    </row>
    <row r="49" ht="24" customHeight="1" spans="2:8">
      <c r="B49" s="29" t="s">
        <v>61</v>
      </c>
      <c r="C49" s="29"/>
      <c r="D49" s="29"/>
      <c r="E49" s="30">
        <f>SUM(E5,E10,E15,E20,E25,E31,E33,E45,E47)</f>
        <v>245</v>
      </c>
      <c r="F49" s="31" t="s">
        <v>62</v>
      </c>
      <c r="G49" s="30">
        <f>SUM(G5:G48)</f>
        <v>518000</v>
      </c>
      <c r="H49" s="32"/>
    </row>
  </sheetData>
  <mergeCells count="3">
    <mergeCell ref="B2:H2"/>
    <mergeCell ref="B4:D4"/>
    <mergeCell ref="B49:D49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工作计划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Juqing Xiang</dc:creator>
  <cp:lastModifiedBy>DELL</cp:lastModifiedBy>
  <dcterms:created xsi:type="dcterms:W3CDTF">2019-12-24T02:54:00Z</dcterms:created>
  <dcterms:modified xsi:type="dcterms:W3CDTF">2020-03-03T11:31:18Z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